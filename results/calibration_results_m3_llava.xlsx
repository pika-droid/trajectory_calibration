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_Average" sheetId="1" state="visible" r:id="rId1"/>
    <sheet name="ai2d" sheetId="2" state="visible" r:id="rId2"/>
    <sheet name="chartqa" sheetId="3" state="visible" r:id="rId3"/>
    <sheet name="docvqa" sheetId="4" state="visible" r:id="rId4"/>
    <sheet name="gqa" sheetId="5" state="visible" r:id="rId5"/>
    <sheet name="infographicvqa" sheetId="6" state="visible" r:id="rId6"/>
    <sheet name="lego-puzzles" sheetId="7" state="visible" r:id="rId7"/>
    <sheet name="mmbench" sheetId="8" state="visible" r:id="rId8"/>
    <sheet name="mmmu" sheetId="9" state="visible" r:id="rId9"/>
    <sheet name="pope" sheetId="10" state="visible" r:id="rId10"/>
    <sheet name="scienceqa" sheetId="11" state="visible" r:id="rId11"/>
    <sheet name="seedbench" sheetId="12" state="visible" r:id="rId12"/>
    <sheet name="textvqa" sheetId="13" state="visible" r:id="rId13"/>
    <sheet name="vizwiz-vqa" sheetId="14" state="visible" r:id="rId14"/>
    <sheet name="vqav2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10" fontId="3" fillId="4" borderId="2" applyAlignment="1" pivotButton="0" quotePrefix="0" xfId="0">
      <alignment horizontal="right" vertical="center"/>
    </xf>
    <xf numFmtId="164" fontId="3" fillId="4" borderId="2" applyAlignment="1" pivotButton="0" quotePrefix="0" xfId="0">
      <alignment horizontal="right" vertical="center"/>
    </xf>
    <xf numFmtId="165" fontId="3" fillId="4" borderId="2" applyAlignment="1" pivotButton="0" quotePrefix="0" xfId="0">
      <alignment horizontal="right" vertical="center"/>
    </xf>
    <xf numFmtId="0" fontId="3" fillId="5" borderId="2" applyAlignment="1" pivotButton="0" quotePrefix="0" xfId="0">
      <alignment horizontal="left" vertical="center"/>
    </xf>
    <xf numFmtId="10" fontId="3" fillId="5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165" fontId="3" fillId="5" borderId="2" applyAlignment="1" pivotButton="0" quotePrefix="0" xfId="0">
      <alignment horizontal="right" vertical="center"/>
    </xf>
    <xf numFmtId="0" fontId="3" fillId="5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Macro-Average Results: M3-LLaVA (7B) | Averaged across 14 Benchmarks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>
        <f>AVERAGE('ai2d'!C4, 'chartqa'!C4, 'docvqa'!C4, 'gqa'!C4, 'infographicvqa'!C4, 'lego-puzzles'!C4, 'mmbench'!C4, 'mmmu'!C4, 'pope'!C4, 'scienceqa'!C4, 'seedbench'!C4, 'textvqa'!C4, 'vizwiz-vqa'!C4, 'vqav2'!C4)</f>
        <v/>
      </c>
      <c r="D4" s="5">
        <f>AVERAGE('ai2d'!D4, 'chartqa'!D4, 'docvqa'!D4, 'gqa'!D4, 'infographicvqa'!D4, 'lego-puzzles'!D4, 'mmbench'!D4, 'mmmu'!D4, 'pope'!D4, 'scienceqa'!D4, 'seedbench'!D4, 'textvqa'!D4, 'vizwiz-vqa'!D4, 'vqav2'!D4)</f>
        <v/>
      </c>
      <c r="E4" s="6">
        <f>AVERAGE('ai2d'!E4, 'chartqa'!E4, 'docvqa'!E4, 'gqa'!E4, 'infographicvqa'!E4, 'lego-puzzles'!E4, 'mmbench'!E4, 'mmmu'!E4, 'pope'!E4, 'scienceqa'!E4, 'seedbench'!E4, 'textvqa'!E4, 'vizwiz-vqa'!E4, 'vqav2'!E4)</f>
        <v/>
      </c>
      <c r="F4" s="7">
        <f>AVERAGE('ai2d'!F4, 'chartqa'!F4, 'docvqa'!F4, 'gqa'!F4, 'infographicvqa'!F4, 'lego-puzzles'!F4, 'mmbench'!F4, 'mmmu'!F4, 'pope'!F4, 'scienceqa'!F4, 'seedbench'!F4, 'textvqa'!F4, 'vizwiz-vqa'!F4, 'vqav2'!F4)</f>
        <v/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>
        <f>AVERAGE('ai2d'!C5, 'chartqa'!C5, 'docvqa'!C5, 'gqa'!C5, 'infographicvqa'!C5, 'lego-puzzles'!C5, 'mmbench'!C5, 'mmmu'!C5, 'pope'!C5, 'scienceqa'!C5, 'seedbench'!C5, 'textvqa'!C5, 'vizwiz-vqa'!C5, 'vqav2'!C5)</f>
        <v/>
      </c>
      <c r="D5" s="9">
        <f>AVERAGE('ai2d'!D5, 'chartqa'!D5, 'docvqa'!D5, 'gqa'!D5, 'infographicvqa'!D5, 'lego-puzzles'!D5, 'mmbench'!D5, 'mmmu'!D5, 'pope'!D5, 'scienceqa'!D5, 'seedbench'!D5, 'textvqa'!D5, 'vizwiz-vqa'!D5, 'vqav2'!D5)</f>
        <v/>
      </c>
      <c r="E5" s="10">
        <f>AVERAGE('ai2d'!E5, 'chartqa'!E5, 'docvqa'!E5, 'gqa'!E5, 'infographicvqa'!E5, 'lego-puzzles'!E5, 'mmbench'!E5, 'mmmu'!E5, 'pope'!E5, 'scienceqa'!E5, 'seedbench'!E5, 'textvqa'!E5, 'vizwiz-vqa'!E5, 'vqav2'!E5)</f>
        <v/>
      </c>
      <c r="F5" s="11">
        <f>AVERAGE('ai2d'!F5, 'chartqa'!F5, 'docvqa'!F5, 'gqa'!F5, 'infographicvqa'!F5, 'lego-puzzles'!F5, 'mmbench'!F5, 'mmmu'!F5, 'pope'!F5, 'scienceqa'!F5, 'seedbench'!F5, 'textvqa'!F5, 'vizwiz-vqa'!F5, 'vqav2'!F5)</f>
        <v/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>
        <f>AVERAGE('ai2d'!C6, 'chartqa'!C6, 'docvqa'!C6, 'gqa'!C6, 'infographicvqa'!C6, 'lego-puzzles'!C6, 'mmbench'!C6, 'mmmu'!C6, 'pope'!C6, 'scienceqa'!C6, 'seedbench'!C6, 'textvqa'!C6, 'vizwiz-vqa'!C6, 'vqav2'!C6)</f>
        <v/>
      </c>
      <c r="D6" s="5">
        <f>AVERAGE('ai2d'!D6, 'chartqa'!D6, 'docvqa'!D6, 'gqa'!D6, 'infographicvqa'!D6, 'lego-puzzles'!D6, 'mmbench'!D6, 'mmmu'!D6, 'pope'!D6, 'scienceqa'!D6, 'seedbench'!D6, 'textvqa'!D6, 'vizwiz-vqa'!D6, 'vqav2'!D6)</f>
        <v/>
      </c>
      <c r="E6" s="6">
        <f>AVERAGE('ai2d'!E6, 'chartqa'!E6, 'docvqa'!E6, 'gqa'!E6, 'infographicvqa'!E6, 'lego-puzzles'!E6, 'mmbench'!E6, 'mmmu'!E6, 'pope'!E6, 'scienceqa'!E6, 'seedbench'!E6, 'textvqa'!E6, 'vizwiz-vqa'!E6, 'vqav2'!E6)</f>
        <v/>
      </c>
      <c r="F6" s="7">
        <f>AVERAGE('ai2d'!F6, 'chartqa'!F6, 'docvqa'!F6, 'gqa'!F6, 'infographicvqa'!F6, 'lego-puzzles'!F6, 'mmbench'!F6, 'mmmu'!F6, 'pope'!F6, 'scienceqa'!F6, 'seedbench'!F6, 'textvqa'!F6, 'vizwiz-vqa'!F6, 'vqav2'!F6)</f>
        <v/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>
        <f>AVERAGE('ai2d'!C7, 'chartqa'!C7, 'docvqa'!C7, 'gqa'!C7, 'infographicvqa'!C7, 'lego-puzzles'!C7, 'mmbench'!C7, 'mmmu'!C7, 'pope'!C7, 'scienceqa'!C7, 'seedbench'!C7, 'textvqa'!C7, 'vizwiz-vqa'!C7, 'vqav2'!C7)</f>
        <v/>
      </c>
      <c r="D7" s="9">
        <f>AVERAGE('ai2d'!D7, 'chartqa'!D7, 'docvqa'!D7, 'gqa'!D7, 'infographicvqa'!D7, 'lego-puzzles'!D7, 'mmbench'!D7, 'mmmu'!D7, 'pope'!D7, 'scienceqa'!D7, 'seedbench'!D7, 'textvqa'!D7, 'vizwiz-vqa'!D7, 'vqav2'!D7)</f>
        <v/>
      </c>
      <c r="E7" s="10">
        <f>AVERAGE('ai2d'!E7, 'chartqa'!E7, 'docvqa'!E7, 'gqa'!E7, 'infographicvqa'!E7, 'lego-puzzles'!E7, 'mmbench'!E7, 'mmmu'!E7, 'pope'!E7, 'scienceqa'!E7, 'seedbench'!E7, 'textvqa'!E7, 'vizwiz-vqa'!E7, 'vqav2'!E7)</f>
        <v/>
      </c>
      <c r="F7" s="11">
        <f>AVERAGE('ai2d'!F7, 'chartqa'!F7, 'docvqa'!F7, 'gqa'!F7, 'infographicvqa'!F7, 'lego-puzzles'!F7, 'mmbench'!F7, 'mmmu'!F7, 'pope'!F7, 'scienceqa'!F7, 'seedbench'!F7, 'textvqa'!F7, 'vizwiz-vqa'!F7, 'vqav2'!F7)</f>
        <v/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>
        <f>AVERAGE('ai2d'!C8, 'chartqa'!C8, 'docvqa'!C8, 'gqa'!C8, 'infographicvqa'!C8, 'lego-puzzles'!C8, 'mmbench'!C8, 'mmmu'!C8, 'pope'!C8, 'scienceqa'!C8, 'seedbench'!C8, 'textvqa'!C8, 'vizwiz-vqa'!C8, 'vqav2'!C8)</f>
        <v/>
      </c>
      <c r="D8" s="5">
        <f>AVERAGE('ai2d'!D8, 'chartqa'!D8, 'docvqa'!D8, 'gqa'!D8, 'infographicvqa'!D8, 'lego-puzzles'!D8, 'mmbench'!D8, 'mmmu'!D8, 'pope'!D8, 'scienceqa'!D8, 'seedbench'!D8, 'textvqa'!D8, 'vizwiz-vqa'!D8, 'vqav2'!D8)</f>
        <v/>
      </c>
      <c r="E8" s="6">
        <f>AVERAGE('ai2d'!E8, 'chartqa'!E8, 'docvqa'!E8, 'gqa'!E8, 'infographicvqa'!E8, 'lego-puzzles'!E8, 'mmbench'!E8, 'mmmu'!E8, 'pope'!E8, 'scienceqa'!E8, 'seedbench'!E8, 'textvqa'!E8, 'vizwiz-vqa'!E8, 'vqav2'!E8)</f>
        <v/>
      </c>
      <c r="F8" s="7">
        <f>AVERAGE('ai2d'!F8, 'chartqa'!F8, 'docvqa'!F8, 'gqa'!F8, 'infographicvqa'!F8, 'lego-puzzles'!F8, 'mmbench'!F8, 'mmmu'!F8, 'pope'!F8, 'scienceqa'!F8, 'seedbench'!F8, 'textvqa'!F8, 'vizwiz-vqa'!F8, 'vqav2'!F8)</f>
        <v/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>
        <f>AVERAGE('ai2d'!C9, 'chartqa'!C9, 'docvqa'!C9, 'gqa'!C9, 'infographicvqa'!C9, 'lego-puzzles'!C9, 'mmbench'!C9, 'mmmu'!C9, 'pope'!C9, 'scienceqa'!C9, 'seedbench'!C9, 'textvqa'!C9, 'vizwiz-vqa'!C9, 'vqav2'!C9)</f>
        <v/>
      </c>
      <c r="D9" s="9">
        <f>AVERAGE('ai2d'!D9, 'chartqa'!D9, 'docvqa'!D9, 'gqa'!D9, 'infographicvqa'!D9, 'lego-puzzles'!D9, 'mmbench'!D9, 'mmmu'!D9, 'pope'!D9, 'scienceqa'!D9, 'seedbench'!D9, 'textvqa'!D9, 'vizwiz-vqa'!D9, 'vqav2'!D9)</f>
        <v/>
      </c>
      <c r="E9" s="10">
        <f>AVERAGE('ai2d'!E9, 'chartqa'!E9, 'docvqa'!E9, 'gqa'!E9, 'infographicvqa'!E9, 'lego-puzzles'!E9, 'mmbench'!E9, 'mmmu'!E9, 'pope'!E9, 'scienceqa'!E9, 'seedbench'!E9, 'textvqa'!E9, 'vizwiz-vqa'!E9, 'vqav2'!E9)</f>
        <v/>
      </c>
      <c r="F9" s="11">
        <f>AVERAGE('ai2d'!F9, 'chartqa'!F9, 'docvqa'!F9, 'gqa'!F9, 'infographicvqa'!F9, 'lego-puzzles'!F9, 'mmbench'!F9, 'mmmu'!F9, 'pope'!F9, 'scienceqa'!F9, 'seedbench'!F9, 'textvqa'!F9, 'vizwiz-vqa'!F9, 'vqav2'!F9)</f>
        <v/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>
        <f>AVERAGE('ai2d'!C10, 'chartqa'!C10, 'docvqa'!C10, 'gqa'!C10, 'infographicvqa'!C10, 'lego-puzzles'!C10, 'mmbench'!C10, 'mmmu'!C10, 'pope'!C10, 'scienceqa'!C10, 'seedbench'!C10, 'textvqa'!C10, 'vizwiz-vqa'!C10, 'vqav2'!C10)</f>
        <v/>
      </c>
      <c r="D10" s="5">
        <f>AVERAGE('ai2d'!D10, 'chartqa'!D10, 'docvqa'!D10, 'gqa'!D10, 'infographicvqa'!D10, 'lego-puzzles'!D10, 'mmbench'!D10, 'mmmu'!D10, 'pope'!D10, 'scienceqa'!D10, 'seedbench'!D10, 'textvqa'!D10, 'vizwiz-vqa'!D10, 'vqav2'!D10)</f>
        <v/>
      </c>
      <c r="E10" s="6">
        <f>AVERAGE('ai2d'!E10, 'chartqa'!E10, 'docvqa'!E10, 'gqa'!E10, 'infographicvqa'!E10, 'lego-puzzles'!E10, 'mmbench'!E10, 'mmmu'!E10, 'pope'!E10, 'scienceqa'!E10, 'seedbench'!E10, 'textvqa'!E10, 'vizwiz-vqa'!E10, 'vqav2'!E10)</f>
        <v/>
      </c>
      <c r="F10" s="7">
        <f>AVERAGE('ai2d'!F10, 'chartqa'!F10, 'docvqa'!F10, 'gqa'!F10, 'infographicvqa'!F10, 'lego-puzzles'!F10, 'mmbench'!F10, 'mmmu'!F10, 'pope'!F10, 'scienceqa'!F10, 'seedbench'!F10, 'textvqa'!F10, 'vizwiz-vqa'!F10, 'vqav2'!F10)</f>
        <v/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>
        <f>AVERAGE('ai2d'!C11, 'chartqa'!C11, 'docvqa'!C11, 'gqa'!C11, 'infographicvqa'!C11, 'lego-puzzles'!C11, 'mmbench'!C11, 'mmmu'!C11, 'pope'!C11, 'scienceqa'!C11, 'seedbench'!C11, 'textvqa'!C11, 'vizwiz-vqa'!C11, 'vqav2'!C11)</f>
        <v/>
      </c>
      <c r="D11" s="12" t="inlineStr">
        <is>
          <t>-</t>
        </is>
      </c>
      <c r="E11" s="10">
        <f>AVERAGE('ai2d'!E11, 'chartqa'!E11, 'docvqa'!E11, 'gqa'!E11, 'infographicvqa'!E11, 'lego-puzzles'!E11, 'mmbench'!E11, 'mmmu'!E11, 'pope'!E11, 'scienceqa'!E11, 'seedbench'!E11, 'textvqa'!E11, 'vizwiz-vqa'!E11, 'vqav2'!E11)</f>
        <v/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>
        <f>AVERAGE('ai2d'!C12, 'chartqa'!C12, 'docvqa'!C12, 'gqa'!C12, 'infographicvqa'!C12, 'lego-puzzles'!C12, 'mmbench'!C12, 'mmmu'!C12, 'pope'!C12, 'scienceqa'!C12, 'seedbench'!C12, 'textvqa'!C12, 'vizwiz-vqa'!C12, 'vqav2'!C12)</f>
        <v/>
      </c>
      <c r="D12" s="13" t="inlineStr">
        <is>
          <t>-</t>
        </is>
      </c>
      <c r="E12" s="6">
        <f>AVERAGE('ai2d'!E12, 'chartqa'!E12, 'docvqa'!E12, 'gqa'!E12, 'infographicvqa'!E12, 'lego-puzzles'!E12, 'mmbench'!E12, 'mmmu'!E12, 'pope'!E12, 'scienceqa'!E12, 'seedbench'!E12, 'textvqa'!E12, 'vizwiz-vqa'!E12, 'vqav2'!E12)</f>
        <v/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>
        <f>AVERAGE('ai2d'!C13, 'chartqa'!C13, 'docvqa'!C13, 'gqa'!C13, 'infographicvqa'!C13, 'lego-puzzles'!C13, 'mmbench'!C13, 'mmmu'!C13, 'pope'!C13, 'scienceqa'!C13, 'seedbench'!C13, 'textvqa'!C13, 'vizwiz-vqa'!C13, 'vqav2'!C13)</f>
        <v/>
      </c>
      <c r="D13" s="12" t="inlineStr">
        <is>
          <t>-</t>
        </is>
      </c>
      <c r="E13" s="10">
        <f>AVERAGE('ai2d'!E13, 'chartqa'!E13, 'docvqa'!E13, 'gqa'!E13, 'infographicvqa'!E13, 'lego-puzzles'!E13, 'mmbench'!E13, 'mmmu'!E13, 'pope'!E13, 'scienceqa'!E13, 'seedbench'!E13, 'textvqa'!E13, 'vizwiz-vqa'!E13, 'vqav2'!E13)</f>
        <v/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>
        <f>AVERAGE('ai2d'!C14, 'chartqa'!C14, 'docvqa'!C14, 'gqa'!C14, 'infographicvqa'!C14, 'lego-puzzles'!C14, 'mmbench'!C14, 'mmmu'!C14, 'pope'!C14, 'scienceqa'!C14, 'seedbench'!C14, 'textvqa'!C14, 'vizwiz-vqa'!C14, 'vqav2'!C14)</f>
        <v/>
      </c>
      <c r="D14" s="13" t="inlineStr">
        <is>
          <t>-</t>
        </is>
      </c>
      <c r="E14" s="6">
        <f>AVERAGE('ai2d'!E14, 'chartqa'!E14, 'docvqa'!E14, 'gqa'!E14, 'infographicvqa'!E14, 'lego-puzzles'!E14, 'mmbench'!E14, 'mmmu'!E14, 'pope'!E14, 'scienceqa'!E14, 'seedbench'!E14, 'textvqa'!E14, 'vizwiz-vqa'!E14, 'vqav2'!E14)</f>
        <v/>
      </c>
      <c r="F14" s="13" t="inlineStr">
        <is>
          <t>-</t>
        </is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M3-LLaVA (7B) | Dataset: ai2d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0.4179891250919083</v>
      </c>
      <c r="D4" s="5" t="n">
        <v>0.4179891250919083</v>
      </c>
      <c r="E4" s="6" t="n">
        <v>0.5978230487183281</v>
      </c>
      <c r="F4" s="7" t="n">
        <v>0.4179907627810639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0.0856379822760021</v>
      </c>
      <c r="D5" s="9" t="n">
        <v>0.0937585404558563</v>
      </c>
      <c r="E5" s="10" t="n">
        <v>0.5978230487183281</v>
      </c>
      <c r="F5" s="11" t="n">
        <v>0.2474011345796166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0.0349066025993644</v>
      </c>
      <c r="D6" s="5" t="n">
        <v>0.0519179939888838</v>
      </c>
      <c r="E6" s="6" t="n">
        <v>0.5978230487183281</v>
      </c>
      <c r="F6" s="7" t="n">
        <v>0.2394195376965905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0.0697438307702541</v>
      </c>
      <c r="D7" s="9" t="n">
        <v>0.0951195200383663</v>
      </c>
      <c r="E7" s="10" t="n">
        <v>0.6416087078051267</v>
      </c>
      <c r="F7" s="11" t="n">
        <v>0.2317422742093862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0.0756552437543869</v>
      </c>
      <c r="D8" s="5" t="n">
        <v>0.0937702046632766</v>
      </c>
      <c r="E8" s="6" t="n">
        <v>0.6436146598924677</v>
      </c>
      <c r="F8" s="7" t="n">
        <v>0.231303660149119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0.070485540669318</v>
      </c>
      <c r="D9" s="9" t="n">
        <v>0.0776557364810911</v>
      </c>
      <c r="E9" s="10" t="n">
        <v>0.6370953156086092</v>
      </c>
      <c r="F9" s="11" t="n">
        <v>0.2326304127804471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0.0671514770296954</v>
      </c>
      <c r="D10" s="5" t="n">
        <v>0.0957460713637984</v>
      </c>
      <c r="E10" s="6" t="n">
        <v>0.636741807658791</v>
      </c>
      <c r="F10" s="7" t="n">
        <v>0.2323297909210344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0.286</v>
      </c>
      <c r="D11" s="12" t="inlineStr">
        <is>
          <t>-</t>
        </is>
      </c>
      <c r="E11" s="10" t="n">
        <v>0.608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0.272</v>
      </c>
      <c r="D12" s="13" t="inlineStr">
        <is>
          <t>-</t>
        </is>
      </c>
      <c r="E12" s="6" t="n">
        <v>0.607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0.294</v>
      </c>
      <c r="D13" s="12" t="inlineStr">
        <is>
          <t>-</t>
        </is>
      </c>
      <c r="E13" s="10" t="n">
        <v>0.617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0.316</v>
      </c>
      <c r="D14" s="13" t="inlineStr">
        <is>
          <t>-</t>
        </is>
      </c>
      <c r="E14" s="6" t="n">
        <v>0.604</v>
      </c>
      <c r="F14" s="13" t="inlineStr">
        <is>
          <t>-</t>
        </is>
      </c>
    </row>
  </sheetData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M3-LLaVA (7B) | Dataset: chartqa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0.707028782710433</v>
      </c>
      <c r="D4" s="5" t="n">
        <v>0.707028782710433</v>
      </c>
      <c r="E4" s="6" t="n">
        <v>0.8349694749694749</v>
      </c>
      <c r="F4" s="7" t="n">
        <v>0.6077089198754193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0.4544764625791954</v>
      </c>
      <c r="D5" s="9" t="n">
        <v>0.450678799212151</v>
      </c>
      <c r="E5" s="10" t="n">
        <v>0.8349694749694749</v>
      </c>
      <c r="F5" s="11" t="n">
        <v>0.2775349475496193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0.029624544103183</v>
      </c>
      <c r="D6" s="5" t="n">
        <v>0.0235481127795706</v>
      </c>
      <c r="E6" s="6" t="n">
        <v>0.8349694749694749</v>
      </c>
      <c r="F6" s="7" t="n">
        <v>0.06848483958623459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0.0260600510798394</v>
      </c>
      <c r="D7" s="9" t="n">
        <v>0.0303687149249017</v>
      </c>
      <c r="E7" s="10" t="n">
        <v>0.8366788766788767</v>
      </c>
      <c r="F7" s="11" t="n">
        <v>0.0678570668880064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0.0307065690294839</v>
      </c>
      <c r="D8" s="5" t="n">
        <v>0.0354603314981795</v>
      </c>
      <c r="E8" s="6" t="n">
        <v>0.8254456654456654</v>
      </c>
      <c r="F8" s="7" t="n">
        <v>0.0685506734108559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0.0353072762232562</v>
      </c>
      <c r="D9" s="9" t="n">
        <v>0.028573757152288</v>
      </c>
      <c r="E9" s="10" t="n">
        <v>0.8375579975579975</v>
      </c>
      <c r="F9" s="11" t="n">
        <v>0.0681968408259913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0.026722441078613</v>
      </c>
      <c r="D10" s="5" t="n">
        <v>0.0222135906872375</v>
      </c>
      <c r="E10" s="6" t="n">
        <v>0.8383394383394384</v>
      </c>
      <c r="F10" s="7" t="n">
        <v>0.068161913619252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0.08799999999999999</v>
      </c>
      <c r="D11" s="12" t="inlineStr">
        <is>
          <t>-</t>
        </is>
      </c>
      <c r="E11" s="10" t="n">
        <v>0.828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0.193</v>
      </c>
      <c r="D12" s="13" t="inlineStr">
        <is>
          <t>-</t>
        </is>
      </c>
      <c r="E12" s="6" t="n">
        <v>0.8179999999999999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0.089</v>
      </c>
      <c r="D13" s="12" t="inlineStr">
        <is>
          <t>-</t>
        </is>
      </c>
      <c r="E13" s="10" t="n">
        <v>0.734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0.258</v>
      </c>
      <c r="D14" s="13" t="inlineStr">
        <is>
          <t>-</t>
        </is>
      </c>
      <c r="E14" s="6" t="n">
        <v>0.79</v>
      </c>
      <c r="F14" s="13" t="inlineStr">
        <is>
          <t>-</t>
        </is>
      </c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M3-LLaVA (7B) | Dataset: docvqa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0.735183608904481</v>
      </c>
      <c r="D4" s="5" t="n">
        <v>0.7351836089044809</v>
      </c>
      <c r="E4" s="6" t="n">
        <v>0.7320273868391024</v>
      </c>
      <c r="F4" s="7" t="n">
        <v>0.6320251236964234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0.4885550445547063</v>
      </c>
      <c r="D5" s="9" t="n">
        <v>0.4885550445547063</v>
      </c>
      <c r="E5" s="10" t="n">
        <v>0.7320273868391024</v>
      </c>
      <c r="F5" s="11" t="n">
        <v>0.2795691028319551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0.0179799369449374</v>
      </c>
      <c r="D6" s="5" t="n">
        <v>0.0238725788020795</v>
      </c>
      <c r="E6" s="6" t="n">
        <v>0.7320273868391024</v>
      </c>
      <c r="F6" s="7" t="n">
        <v>0.0417961035097379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0.0190104336244985</v>
      </c>
      <c r="D7" s="9" t="n">
        <v>0.0311087451316416</v>
      </c>
      <c r="E7" s="10" t="n">
        <v>0.7303157093952074</v>
      </c>
      <c r="F7" s="11" t="n">
        <v>0.0411096069592869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0.0169881316849496</v>
      </c>
      <c r="D8" s="5" t="n">
        <v>0.0227961472261231</v>
      </c>
      <c r="E8" s="6" t="n">
        <v>0.742202358311145</v>
      </c>
      <c r="F8" s="7" t="n">
        <v>0.0409592481328704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0.0204670697028163</v>
      </c>
      <c r="D9" s="9" t="n">
        <v>0.0265385653757316</v>
      </c>
      <c r="E9" s="10" t="n">
        <v>0.7384937238493723</v>
      </c>
      <c r="F9" s="11" t="n">
        <v>0.0417855434375025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0.0217316070584826</v>
      </c>
      <c r="D10" s="5" t="n">
        <v>0.0311351502182952</v>
      </c>
      <c r="E10" s="6" t="n">
        <v>0.7394446557626474</v>
      </c>
      <c r="F10" s="7" t="n">
        <v>0.0417780757630618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0.104</v>
      </c>
      <c r="D11" s="12" t="inlineStr">
        <is>
          <t>-</t>
        </is>
      </c>
      <c r="E11" s="10" t="n">
        <v>0.834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0.297</v>
      </c>
      <c r="D12" s="13" t="inlineStr">
        <is>
          <t>-</t>
        </is>
      </c>
      <c r="E12" s="6" t="n">
        <v>0.83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0.158</v>
      </c>
      <c r="D13" s="12" t="inlineStr">
        <is>
          <t>-</t>
        </is>
      </c>
      <c r="E13" s="10" t="n">
        <v>0.786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0.371</v>
      </c>
      <c r="D14" s="13" t="inlineStr">
        <is>
          <t>-</t>
        </is>
      </c>
      <c r="E14" s="6" t="n">
        <v>0.8090000000000001</v>
      </c>
      <c r="F14" s="13" t="inlineStr">
        <is>
          <t>-</t>
        </is>
      </c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M3-LLaVA (7B) | Dataset: gqa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0.3253560257520546</v>
      </c>
      <c r="D4" s="5" t="n">
        <v>0.3242636335458626</v>
      </c>
      <c r="E4" s="6" t="n">
        <v>0.6854844527811846</v>
      </c>
      <c r="F4" s="7" t="n">
        <v>0.3221379266117762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0.08242077825964809</v>
      </c>
      <c r="D5" s="9" t="n">
        <v>0.09899974898415451</v>
      </c>
      <c r="E5" s="10" t="n">
        <v>0.6854844527811846</v>
      </c>
      <c r="F5" s="11" t="n">
        <v>0.2075669846224552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0.0408170257679636</v>
      </c>
      <c r="D6" s="5" t="n">
        <v>0.0669889629496145</v>
      </c>
      <c r="E6" s="6" t="n">
        <v>0.6854844527811846</v>
      </c>
      <c r="F6" s="7" t="n">
        <v>0.1988196428323864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0.07970090188086031</v>
      </c>
      <c r="D7" s="9" t="n">
        <v>0.0829537709206343</v>
      </c>
      <c r="E7" s="10" t="n">
        <v>0.6869093139023157</v>
      </c>
      <c r="F7" s="11" t="n">
        <v>0.2012851297457719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0.0613724999427795</v>
      </c>
      <c r="D8" s="5" t="n">
        <v>0.0619218498468398</v>
      </c>
      <c r="E8" s="6" t="n">
        <v>0.6837800303008441</v>
      </c>
      <c r="F8" s="7" t="n">
        <v>0.2041027501430249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0.0521689957563656</v>
      </c>
      <c r="D9" s="9" t="n">
        <v>0.0670718376626256</v>
      </c>
      <c r="E9" s="10" t="n">
        <v>0.7035116513960031</v>
      </c>
      <c r="F9" s="11" t="n">
        <v>0.1950084866893705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0.0501600604597105</v>
      </c>
      <c r="D10" s="5" t="n">
        <v>0.052519431180991</v>
      </c>
      <c r="E10" s="6" t="n">
        <v>0.7103473775340885</v>
      </c>
      <c r="F10" s="7" t="n">
        <v>0.194076886943846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0.174</v>
      </c>
      <c r="D11" s="12" t="inlineStr">
        <is>
          <t>-</t>
        </is>
      </c>
      <c r="E11" s="10" t="n">
        <v>0.712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0.176</v>
      </c>
      <c r="D12" s="13" t="inlineStr">
        <is>
          <t>-</t>
        </is>
      </c>
      <c r="E12" s="6" t="n">
        <v>0.6899999999999999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0.188</v>
      </c>
      <c r="D13" s="12" t="inlineStr">
        <is>
          <t>-</t>
        </is>
      </c>
      <c r="E13" s="10" t="n">
        <v>0.696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0.253</v>
      </c>
      <c r="D14" s="13" t="inlineStr">
        <is>
          <t>-</t>
        </is>
      </c>
      <c r="E14" s="6" t="n">
        <v>0.623</v>
      </c>
      <c r="F14" s="13" t="inlineStr">
        <is>
          <t>-</t>
        </is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M3-LLaVA (7B) | Dataset: infographicvqa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0.8454546543061733</v>
      </c>
      <c r="D4" s="5" t="n">
        <v>0.8454546543061733</v>
      </c>
      <c r="E4" s="6" t="n">
        <v>0.4254032258064516</v>
      </c>
      <c r="F4" s="7" t="n">
        <v>0.7640733862336661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0.5390964874005806</v>
      </c>
      <c r="D5" s="9" t="n">
        <v>0.5390964874005806</v>
      </c>
      <c r="E5" s="10" t="n">
        <v>0.4254032258064516</v>
      </c>
      <c r="F5" s="11" t="n">
        <v>0.3000388992424669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0.000374416705228</v>
      </c>
      <c r="D6" s="5" t="n">
        <v>0.0112612513180066</v>
      </c>
      <c r="E6" s="6" t="n">
        <v>0.5745967741935484</v>
      </c>
      <c r="F6" s="7" t="n">
        <v>0.0079307855658429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0.0002055465642479</v>
      </c>
      <c r="D7" s="9" t="n">
        <v>0.0110544629067298</v>
      </c>
      <c r="E7" s="10" t="n">
        <v>0.595766129032258</v>
      </c>
      <c r="F7" s="11" t="n">
        <v>0.0079335527989073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0.0002059666906716</v>
      </c>
      <c r="D8" s="5" t="n">
        <v>0.0128872188209788</v>
      </c>
      <c r="E8" s="6" t="n">
        <v>0.6033266129032259</v>
      </c>
      <c r="F8" s="7" t="n">
        <v>0.0079298488959969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0.0005746748163085</v>
      </c>
      <c r="D9" s="9" t="n">
        <v>0.0131362795449365</v>
      </c>
      <c r="E9" s="10" t="n">
        <v>0.4248991935483871</v>
      </c>
      <c r="F9" s="11" t="n">
        <v>0.0079429239996589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0.0005686605996069</v>
      </c>
      <c r="D10" s="5" t="n">
        <v>0.0121631350158069</v>
      </c>
      <c r="E10" s="6" t="n">
        <v>0.407258064516129</v>
      </c>
      <c r="F10" s="7" t="n">
        <v>0.0079434586429193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0.166</v>
      </c>
      <c r="D11" s="12" t="inlineStr">
        <is>
          <t>-</t>
        </is>
      </c>
      <c r="E11" s="10" t="n">
        <v>0.5620000000000001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0.348</v>
      </c>
      <c r="D12" s="13" t="inlineStr">
        <is>
          <t>-</t>
        </is>
      </c>
      <c r="E12" s="6" t="n">
        <v>0.5610000000000001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0.165</v>
      </c>
      <c r="D13" s="12" t="inlineStr">
        <is>
          <t>-</t>
        </is>
      </c>
      <c r="E13" s="10" t="n">
        <v>0.547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0.392</v>
      </c>
      <c r="D14" s="13" t="inlineStr">
        <is>
          <t>-</t>
        </is>
      </c>
      <c r="E14" s="6" t="n">
        <v>0.534</v>
      </c>
      <c r="F14" s="13" t="inlineStr">
        <is>
          <t>-</t>
        </is>
      </c>
    </row>
  </sheetData>
  <mergeCells count="1">
    <mergeCell ref="A2:F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M3-LLaVA (7B) | Dataset: lego-puzzles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0.7315902764146978</v>
      </c>
      <c r="D4" s="5" t="n">
        <v>0.7315902764146978</v>
      </c>
      <c r="E4" s="6" t="n">
        <v>0.4765764817349194</v>
      </c>
      <c r="F4" s="7" t="n">
        <v>0.7314117786904458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0.3471143626017259</v>
      </c>
      <c r="D5" s="9" t="n">
        <v>0.3471143626017258</v>
      </c>
      <c r="E5" s="10" t="n">
        <v>0.4765764817349194</v>
      </c>
      <c r="F5" s="11" t="n">
        <v>0.3159597132332273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0.0071496394339185</v>
      </c>
      <c r="D6" s="5" t="n">
        <v>0.1188706432507531</v>
      </c>
      <c r="E6" s="6" t="n">
        <v>0.4765764817349194</v>
      </c>
      <c r="F6" s="7" t="n">
        <v>0.1958362149333257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0.0797823336652734</v>
      </c>
      <c r="D7" s="9" t="n">
        <v>0.0845849592238664</v>
      </c>
      <c r="E7" s="10" t="n">
        <v>0.6426992314980524</v>
      </c>
      <c r="F7" s="11" t="n">
        <v>0.1909877173957252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0.0434416893530975</v>
      </c>
      <c r="D8" s="5" t="n">
        <v>0.0985451860184019</v>
      </c>
      <c r="E8" s="6" t="n">
        <v>0.6297505000526372</v>
      </c>
      <c r="F8" s="7" t="n">
        <v>0.1927835491146439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0.0088700498393788</v>
      </c>
      <c r="D9" s="9" t="n">
        <v>0.099317354764587</v>
      </c>
      <c r="E9" s="10" t="n">
        <v>0.5085798505105801</v>
      </c>
      <c r="F9" s="11" t="n">
        <v>0.1941779525474872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0.0364959761228121</v>
      </c>
      <c r="D10" s="5" t="n">
        <v>0.09185403995523909</v>
      </c>
      <c r="E10" s="6" t="n">
        <v>0.5457416570165281</v>
      </c>
      <c r="F10" s="7" t="n">
        <v>0.1922812328403552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0.11</v>
      </c>
      <c r="D11" s="12" t="inlineStr">
        <is>
          <t>-</t>
        </is>
      </c>
      <c r="E11" s="10" t="n">
        <v>0.588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0.15</v>
      </c>
      <c r="D12" s="13" t="inlineStr">
        <is>
          <t>-</t>
        </is>
      </c>
      <c r="E12" s="6" t="n">
        <v>0.571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0.212</v>
      </c>
      <c r="D13" s="12" t="inlineStr">
        <is>
          <t>-</t>
        </is>
      </c>
      <c r="E13" s="10" t="n">
        <v>0.551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0.25</v>
      </c>
      <c r="D14" s="13" t="inlineStr">
        <is>
          <t>-</t>
        </is>
      </c>
      <c r="E14" s="6" t="n">
        <v>0.582</v>
      </c>
      <c r="F14" s="13" t="inlineStr">
        <is>
          <t>-</t>
        </is>
      </c>
    </row>
  </sheetData>
  <mergeCells count="1">
    <mergeCell ref="A2: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M3-LLaVA (7B) | Dataset: mmbench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0.2861641039764115</v>
      </c>
      <c r="D4" s="5" t="n">
        <v>0.2857754726325699</v>
      </c>
      <c r="E4" s="6" t="n">
        <v>0.6289788642729819</v>
      </c>
      <c r="F4" s="7" t="n">
        <v>0.2860174765102919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0.0668137746006137</v>
      </c>
      <c r="D5" s="9" t="n">
        <v>0.07875081436033669</v>
      </c>
      <c r="E5" s="10" t="n">
        <v>0.6289788642729819</v>
      </c>
      <c r="F5" s="11" t="n">
        <v>0.2014289970953085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0.0306991197126442</v>
      </c>
      <c r="D6" s="5" t="n">
        <v>0.0549966066603279</v>
      </c>
      <c r="E6" s="6" t="n">
        <v>0.6289788642729819</v>
      </c>
      <c r="F6" s="7" t="n">
        <v>0.198689975948812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0.044602942764759</v>
      </c>
      <c r="D7" s="9" t="n">
        <v>0.0661013222336769</v>
      </c>
      <c r="E7" s="10" t="n">
        <v>0.6893400716930129</v>
      </c>
      <c r="F7" s="11" t="n">
        <v>0.1855853661404867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0.0483059596717357</v>
      </c>
      <c r="D8" s="5" t="n">
        <v>0.051951263397932</v>
      </c>
      <c r="E8" s="6" t="n">
        <v>0.6926406926406927</v>
      </c>
      <c r="F8" s="7" t="n">
        <v>0.1843588462732385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0.0517824057243972</v>
      </c>
      <c r="D9" s="9" t="n">
        <v>0.0454666756398896</v>
      </c>
      <c r="E9" s="10" t="n">
        <v>0.6906916612798966</v>
      </c>
      <c r="F9" s="11" t="n">
        <v>0.1855416536542819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0.0449387749158542</v>
      </c>
      <c r="D10" s="5" t="n">
        <v>0.0498582629619533</v>
      </c>
      <c r="E10" s="6" t="n">
        <v>0.6932479285420462</v>
      </c>
      <c r="F10" s="7" t="n">
        <v>0.1840082445012244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0.193</v>
      </c>
      <c r="D11" s="12" t="inlineStr">
        <is>
          <t>-</t>
        </is>
      </c>
      <c r="E11" s="10" t="n">
        <v>0.658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0.182</v>
      </c>
      <c r="D12" s="13" t="inlineStr">
        <is>
          <t>-</t>
        </is>
      </c>
      <c r="E12" s="6" t="n">
        <v>0.681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0.205</v>
      </c>
      <c r="D13" s="12" t="inlineStr">
        <is>
          <t>-</t>
        </is>
      </c>
      <c r="E13" s="10" t="n">
        <v>0.66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0.22</v>
      </c>
      <c r="D14" s="13" t="inlineStr">
        <is>
          <t>-</t>
        </is>
      </c>
      <c r="E14" s="6" t="n">
        <v>0.646</v>
      </c>
      <c r="F14" s="13" t="inlineStr">
        <is>
          <t>-</t>
        </is>
      </c>
    </row>
  </sheetData>
  <mergeCells count="1">
    <mergeCell ref="A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M3-LLaVA (7B) | Dataset: mmmu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0.7875887090556843</v>
      </c>
      <c r="D4" s="5" t="n">
        <v>0.7875887090556845</v>
      </c>
      <c r="E4" s="6" t="n">
        <v>0.6390532544378698</v>
      </c>
      <c r="F4" s="7" t="n">
        <v>0.6888725684559812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0.5220540595754262</v>
      </c>
      <c r="D5" s="9" t="n">
        <v>0.5220540595754262</v>
      </c>
      <c r="E5" s="10" t="n">
        <v>0.6390532544378698</v>
      </c>
      <c r="F5" s="11" t="n">
        <v>0.2907526174610168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0.0181258960042114</v>
      </c>
      <c r="D6" s="5" t="n">
        <v>0.034402309599896</v>
      </c>
      <c r="E6" s="6" t="n">
        <v>0.6390532544378698</v>
      </c>
      <c r="F6" s="7" t="n">
        <v>0.0204712050357764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0.0191789832455744</v>
      </c>
      <c r="D7" s="9" t="n">
        <v>0.0354046452214281</v>
      </c>
      <c r="E7" s="10" t="n">
        <v>0.641025641025641</v>
      </c>
      <c r="F7" s="11" t="n">
        <v>0.020697718558281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0.0188552533337886</v>
      </c>
      <c r="D8" s="5" t="n">
        <v>0.0359788168430938</v>
      </c>
      <c r="E8" s="6" t="n">
        <v>0.6035502958579883</v>
      </c>
      <c r="F8" s="7" t="n">
        <v>0.0205918305651607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0.0188953981072319</v>
      </c>
      <c r="D9" s="9" t="n">
        <v>0.0347526995121748</v>
      </c>
      <c r="E9" s="10" t="n">
        <v>0.6390532544378698</v>
      </c>
      <c r="F9" s="11" t="n">
        <v>0.0208107188032083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0.0197978444972349</v>
      </c>
      <c r="D10" s="5" t="n">
        <v>0.0347024060476373</v>
      </c>
      <c r="E10" s="6" t="n">
        <v>0.6429980276134122</v>
      </c>
      <c r="F10" s="7" t="n">
        <v>0.0207065815667027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0.397</v>
      </c>
      <c r="D11" s="12" t="inlineStr">
        <is>
          <t>-</t>
        </is>
      </c>
      <c r="E11" s="10" t="n">
        <v>0.592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0.501</v>
      </c>
      <c r="D12" s="13" t="inlineStr">
        <is>
          <t>-</t>
        </is>
      </c>
      <c r="E12" s="6" t="n">
        <v>0.602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0.364</v>
      </c>
      <c r="D13" s="12" t="inlineStr">
        <is>
          <t>-</t>
        </is>
      </c>
      <c r="E13" s="10" t="n">
        <v>0.5659999999999999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0.476</v>
      </c>
      <c r="D14" s="13" t="inlineStr">
        <is>
          <t>-</t>
        </is>
      </c>
      <c r="E14" s="6" t="n">
        <v>0.5679999999999999</v>
      </c>
      <c r="F14" s="13" t="inlineStr">
        <is>
          <t>-</t>
        </is>
      </c>
    </row>
  </sheetData>
  <mergeCells count="1">
    <mergeCell ref="A2:F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M3-LLaVA (7B) | Dataset: pope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0.0403008855417411</v>
      </c>
      <c r="D4" s="5" t="n">
        <v>0.0429626206021424</v>
      </c>
      <c r="E4" s="6" t="n">
        <v>0.7524243740049212</v>
      </c>
      <c r="F4" s="7" t="n">
        <v>0.0915084073236033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0.0366787149245642</v>
      </c>
      <c r="D5" s="9" t="n">
        <v>0.0423367652171713</v>
      </c>
      <c r="E5" s="10" t="n">
        <v>0.7524243740049212</v>
      </c>
      <c r="F5" s="11" t="n">
        <v>0.09137322514491041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0.0369497265407599</v>
      </c>
      <c r="D6" s="5" t="n">
        <v>0.0433100659471096</v>
      </c>
      <c r="E6" s="6" t="n">
        <v>0.7524243740049212</v>
      </c>
      <c r="F6" s="7" t="n">
        <v>0.0914883500848527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0.0414273062484926</v>
      </c>
      <c r="D7" s="9" t="n">
        <v>0.0501616478287627</v>
      </c>
      <c r="E7" s="10" t="n">
        <v>0.7529309596178897</v>
      </c>
      <c r="F7" s="11" t="n">
        <v>0.0922221920498468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0.0439849243652467</v>
      </c>
      <c r="D8" s="5" t="n">
        <v>0.0551852514801642</v>
      </c>
      <c r="E8" s="6" t="n">
        <v>0.7615429150383557</v>
      </c>
      <c r="F8" s="7" t="n">
        <v>0.09344401409704001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0.0373331835484226</v>
      </c>
      <c r="D9" s="9" t="n">
        <v>0.0404301009535699</v>
      </c>
      <c r="E9" s="10" t="n">
        <v>0.7599507888261687</v>
      </c>
      <c r="F9" s="11" t="n">
        <v>0.0912712100033132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0.0337631622865316</v>
      </c>
      <c r="D10" s="5" t="n">
        <v>0.038554817681552</v>
      </c>
      <c r="E10" s="6" t="n">
        <v>0.7645824287161673</v>
      </c>
      <c r="F10" s="7" t="n">
        <v>0.0909614227488004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0.135</v>
      </c>
      <c r="D11" s="12" t="inlineStr">
        <is>
          <t>-</t>
        </is>
      </c>
      <c r="E11" s="10" t="n">
        <v>0.666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0.165</v>
      </c>
      <c r="D12" s="13" t="inlineStr">
        <is>
          <t>-</t>
        </is>
      </c>
      <c r="E12" s="6" t="n">
        <v>0.678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0.128</v>
      </c>
      <c r="D13" s="12" t="inlineStr">
        <is>
          <t>-</t>
        </is>
      </c>
      <c r="E13" s="10" t="n">
        <v>0.668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0.149</v>
      </c>
      <c r="D14" s="13" t="inlineStr">
        <is>
          <t>-</t>
        </is>
      </c>
      <c r="E14" s="6" t="n">
        <v>0.387</v>
      </c>
      <c r="F14" s="13" t="inlineStr">
        <is>
          <t>-</t>
        </is>
      </c>
    </row>
  </sheetData>
  <mergeCells count="1">
    <mergeCell ref="A2:F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M3-LLaVA (7B) | Dataset: scienceqa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0.11082763671875</v>
      </c>
      <c r="D4" s="5" t="n">
        <v>0.1065540877126512</v>
      </c>
      <c r="E4" s="6" t="n">
        <v>0.7014540337711069</v>
      </c>
      <c r="F4" s="7" t="n">
        <v>0.1566356235586732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0.08694686939662311</v>
      </c>
      <c r="D5" s="9" t="n">
        <v>0.0975585635156076</v>
      </c>
      <c r="E5" s="10" t="n">
        <v>0.7014540337711069</v>
      </c>
      <c r="F5" s="11" t="n">
        <v>0.1529287496746389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0.0362710006211996</v>
      </c>
      <c r="D6" s="5" t="n">
        <v>0.07456787048822661</v>
      </c>
      <c r="E6" s="6" t="n">
        <v>0.7014540337711069</v>
      </c>
      <c r="F6" s="7" t="n">
        <v>0.1450262824610128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0.0234770833026795</v>
      </c>
      <c r="D7" s="9" t="n">
        <v>0.0584313000951494</v>
      </c>
      <c r="E7" s="10" t="n">
        <v>0.7046290951075191</v>
      </c>
      <c r="F7" s="11" t="n">
        <v>0.1436529792216732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0.0437818299446787</v>
      </c>
      <c r="D8" s="5" t="n">
        <v>0.0543836554601079</v>
      </c>
      <c r="E8" s="6" t="n">
        <v>0.7151284456631547</v>
      </c>
      <c r="F8" s="7" t="n">
        <v>0.1433643942885855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0.0371789375207253</v>
      </c>
      <c r="D9" s="9" t="n">
        <v>0.053045153375367</v>
      </c>
      <c r="E9" s="10" t="n">
        <v>0.7030054841968538</v>
      </c>
      <c r="F9" s="11" t="n">
        <v>0.1447752259739189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0.0260491664586528</v>
      </c>
      <c r="D10" s="5" t="n">
        <v>0.0662297421956919</v>
      </c>
      <c r="E10" s="6" t="n">
        <v>0.7038353297734161</v>
      </c>
      <c r="F10" s="7" t="n">
        <v>0.1446187597501099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0.251</v>
      </c>
      <c r="D11" s="12" t="inlineStr">
        <is>
          <t>-</t>
        </is>
      </c>
      <c r="E11" s="10" t="n">
        <v>0.662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0.301</v>
      </c>
      <c r="D12" s="13" t="inlineStr">
        <is>
          <t>-</t>
        </is>
      </c>
      <c r="E12" s="6" t="n">
        <v>0.636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0.268</v>
      </c>
      <c r="D13" s="12" t="inlineStr">
        <is>
          <t>-</t>
        </is>
      </c>
      <c r="E13" s="10" t="n">
        <v>0.659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0.3</v>
      </c>
      <c r="D14" s="13" t="inlineStr">
        <is>
          <t>-</t>
        </is>
      </c>
      <c r="E14" s="6" t="n">
        <v>0.633</v>
      </c>
      <c r="F14" s="13" t="inlineStr">
        <is>
          <t>-</t>
        </is>
      </c>
    </row>
  </sheetData>
  <mergeCells count="1">
    <mergeCell ref="A2:F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M3-LLaVA (7B) | Dataset: seedbench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0.3239990159438202</v>
      </c>
      <c r="D4" s="5" t="n">
        <v>0.3239990159438202</v>
      </c>
      <c r="E4" s="6" t="n">
        <v>0.4996438746438747</v>
      </c>
      <c r="F4" s="7" t="n">
        <v>0.3239993554984626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0.0130779645695207</v>
      </c>
      <c r="D5" s="9" t="n">
        <v>0.0616042577616168</v>
      </c>
      <c r="E5" s="10" t="n">
        <v>0.4996438746438747</v>
      </c>
      <c r="F5" s="11" t="n">
        <v>0.2189241878688336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0.0116822683953188</v>
      </c>
      <c r="D6" s="5" t="n">
        <v>0.0597704598573774</v>
      </c>
      <c r="E6" s="6" t="n">
        <v>0.4996438746438747</v>
      </c>
      <c r="F6" s="7" t="n">
        <v>0.2188499295087664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0.0303326041698455</v>
      </c>
      <c r="D7" s="9" t="n">
        <v>0.0582579566240311</v>
      </c>
      <c r="E7" s="10" t="n">
        <v>0.6422401198042224</v>
      </c>
      <c r="F7" s="11" t="n">
        <v>0.2068452232914008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0.0435165033340454</v>
      </c>
      <c r="D8" s="5" t="n">
        <v>0.0457106100320816</v>
      </c>
      <c r="E8" s="6" t="n">
        <v>0.6429706333552487</v>
      </c>
      <c r="F8" s="7" t="n">
        <v>0.2070393554781176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0.043037573225953</v>
      </c>
      <c r="D9" s="9" t="n">
        <v>0.085196952952394</v>
      </c>
      <c r="E9" s="10" t="n">
        <v>0.6346245160347725</v>
      </c>
      <c r="F9" s="11" t="n">
        <v>0.2092699348741287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0.0765886197007211</v>
      </c>
      <c r="D10" s="5" t="n">
        <v>0.07824577199265979</v>
      </c>
      <c r="E10" s="6" t="n">
        <v>0.6385875520490905</v>
      </c>
      <c r="F10" s="7" t="n">
        <v>0.2084447855391509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0.224</v>
      </c>
      <c r="D11" s="12" t="inlineStr">
        <is>
          <t>-</t>
        </is>
      </c>
      <c r="E11" s="10" t="n">
        <v>0.644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0.227</v>
      </c>
      <c r="D12" s="13" t="inlineStr">
        <is>
          <t>-</t>
        </is>
      </c>
      <c r="E12" s="6" t="n">
        <v>0.655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0.233</v>
      </c>
      <c r="D13" s="12" t="inlineStr">
        <is>
          <t>-</t>
        </is>
      </c>
      <c r="E13" s="10" t="n">
        <v>0.644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0.25</v>
      </c>
      <c r="D14" s="13" t="inlineStr">
        <is>
          <t>-</t>
        </is>
      </c>
      <c r="E14" s="6" t="n">
        <v>0.629</v>
      </c>
      <c r="F14" s="13" t="inlineStr">
        <is>
          <t>-</t>
        </is>
      </c>
    </row>
  </sheetData>
  <mergeCells count="1">
    <mergeCell ref="A2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M3-LLaVA (7B) | Dataset: textvqa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0.0831522607743468</v>
      </c>
      <c r="D4" s="5" t="n">
        <v>0.0906732526656044</v>
      </c>
      <c r="E4" s="6" t="n">
        <v>0.8315282193958665</v>
      </c>
      <c r="F4" s="7" t="n">
        <v>0.1715135124715009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0.08699271808766471</v>
      </c>
      <c r="D5" s="9" t="n">
        <v>0.0891877013847617</v>
      </c>
      <c r="E5" s="10" t="n">
        <v>0.8315282193958665</v>
      </c>
      <c r="F5" s="11" t="n">
        <v>0.170936089950567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0.0501364453407469</v>
      </c>
      <c r="D6" s="5" t="n">
        <v>0.0611167688205022</v>
      </c>
      <c r="E6" s="6" t="n">
        <v>0.8315282193958665</v>
      </c>
      <c r="F6" s="7" t="n">
        <v>0.1636846684566899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0.0477382720708847</v>
      </c>
      <c r="D7" s="9" t="n">
        <v>0.0410459154844284</v>
      </c>
      <c r="E7" s="10" t="n">
        <v>0.84245826709062</v>
      </c>
      <c r="F7" s="11" t="n">
        <v>0.1593429496603514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0.0664998605400323</v>
      </c>
      <c r="D8" s="5" t="n">
        <v>0.0602443619817495</v>
      </c>
      <c r="E8" s="6" t="n">
        <v>0.8405869104398516</v>
      </c>
      <c r="F8" s="7" t="n">
        <v>0.1607733784115984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0.05311773230252</v>
      </c>
      <c r="D9" s="9" t="n">
        <v>0.0538658790639865</v>
      </c>
      <c r="E9" s="10" t="n">
        <v>0.8338135930047694</v>
      </c>
      <c r="F9" s="11" t="n">
        <v>0.1624713302642987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0.0578121016672994</v>
      </c>
      <c r="D10" s="5" t="n">
        <v>0.0401952276436694</v>
      </c>
      <c r="E10" s="6" t="n">
        <v>0.8347078696343402</v>
      </c>
      <c r="F10" s="7" t="n">
        <v>0.1622559424643578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0.104</v>
      </c>
      <c r="D11" s="12" t="inlineStr">
        <is>
          <t>-</t>
        </is>
      </c>
      <c r="E11" s="10" t="n">
        <v>0.829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0.266</v>
      </c>
      <c r="D12" s="13" t="inlineStr">
        <is>
          <t>-</t>
        </is>
      </c>
      <c r="E12" s="6" t="n">
        <v>0.8139999999999999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0.118</v>
      </c>
      <c r="D13" s="12" t="inlineStr">
        <is>
          <t>-</t>
        </is>
      </c>
      <c r="E13" s="10" t="n">
        <v>0.8110000000000001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0.282</v>
      </c>
      <c r="D14" s="13" t="inlineStr">
        <is>
          <t>-</t>
        </is>
      </c>
      <c r="E14" s="6" t="n">
        <v>0.774</v>
      </c>
      <c r="F14" s="13" t="inlineStr">
        <is>
          <t>-</t>
        </is>
      </c>
    </row>
  </sheetData>
  <mergeCells count="1">
    <mergeCell ref="A2:F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M3-LLaVA (7B) | Dataset: vizwiz-vqa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0.1671152737929114</v>
      </c>
      <c r="D4" s="5" t="n">
        <v>0.1671152737929114</v>
      </c>
      <c r="E4" s="6" t="n">
        <v>0.8350997661342489</v>
      </c>
      <c r="F4" s="7" t="n">
        <v>0.1933238278266436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0.1556002544337525</v>
      </c>
      <c r="D5" s="9" t="n">
        <v>0.1603412606681122</v>
      </c>
      <c r="E5" s="10" t="n">
        <v>0.8350997661342489</v>
      </c>
      <c r="F5" s="11" t="n">
        <v>0.1945136942562434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0.0675701505527193</v>
      </c>
      <c r="D6" s="5" t="n">
        <v>0.0768877188402836</v>
      </c>
      <c r="E6" s="6" t="n">
        <v>0.8350997661342489</v>
      </c>
      <c r="F6" s="7" t="n">
        <v>0.1642438995670536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0.0530126131051219</v>
      </c>
      <c r="D7" s="9" t="n">
        <v>0.0655327024930156</v>
      </c>
      <c r="E7" s="10" t="n">
        <v>0.8329767295284536</v>
      </c>
      <c r="F7" s="11" t="n">
        <v>0.1643438469670865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0.0438562461391556</v>
      </c>
      <c r="D8" s="5" t="n">
        <v>0.0407815593734849</v>
      </c>
      <c r="E8" s="6" t="n">
        <v>0.8299912093015541</v>
      </c>
      <c r="F8" s="7" t="n">
        <v>0.165272171714305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0.0672173624858665</v>
      </c>
      <c r="D9" s="9" t="n">
        <v>0.0735274564543615</v>
      </c>
      <c r="E9" s="10" t="n">
        <v>0.8356636977326632</v>
      </c>
      <c r="F9" s="11" t="n">
        <v>0.1638630026167679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0.06756986695859329</v>
      </c>
      <c r="D10" s="5" t="n">
        <v>0.0667697020685132</v>
      </c>
      <c r="E10" s="6" t="n">
        <v>0.8368413195999403</v>
      </c>
      <c r="F10" s="7" t="n">
        <v>0.1633209673026165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0.137</v>
      </c>
      <c r="D11" s="12" t="inlineStr">
        <is>
          <t>-</t>
        </is>
      </c>
      <c r="E11" s="10" t="n">
        <v>0.768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0.323</v>
      </c>
      <c r="D12" s="13" t="inlineStr">
        <is>
          <t>-</t>
        </is>
      </c>
      <c r="E12" s="6" t="n">
        <v>0.757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0.148</v>
      </c>
      <c r="D13" s="12" t="inlineStr">
        <is>
          <t>-</t>
        </is>
      </c>
      <c r="E13" s="10" t="n">
        <v>0.723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0.324</v>
      </c>
      <c r="D14" s="13" t="inlineStr">
        <is>
          <t>-</t>
        </is>
      </c>
      <c r="E14" s="6" t="n">
        <v>0.701</v>
      </c>
      <c r="F14" s="13" t="inlineStr">
        <is>
          <t>-</t>
        </is>
      </c>
    </row>
  </sheetData>
  <mergeCells count="1">
    <mergeCell ref="A2:F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7" customWidth="1" min="3" max="3"/>
    <col width="19" customWidth="1" min="4" max="4"/>
    <col width="16" customWidth="1" min="5" max="5"/>
    <col width="19" customWidth="1" min="6" max="6"/>
  </cols>
  <sheetData>
    <row r="2" ht="24" customHeight="1">
      <c r="A2" s="1" t="inlineStr">
        <is>
          <t>Model: M3-LLaVA (7B) | Dataset: vqav2</t>
        </is>
      </c>
    </row>
    <row r="3" ht="22" customHeight="1">
      <c r="A3" s="2" t="inlineStr">
        <is>
          <t>Calibration Method</t>
        </is>
      </c>
      <c r="B3" s="2" t="inlineStr">
        <is>
          <t>Regime / Sampling</t>
        </is>
      </c>
      <c r="C3" s="3" t="inlineStr">
        <is>
          <t>ECE (%) ↓</t>
        </is>
      </c>
      <c r="D3" s="3" t="inlineStr">
        <is>
          <t>Ada-ECE (%) ↓</t>
        </is>
      </c>
      <c r="E3" s="3" t="inlineStr">
        <is>
          <t>AUROC ↑</t>
        </is>
      </c>
      <c r="F3" s="3" t="inlineStr">
        <is>
          <t>Brier Score ↓</t>
        </is>
      </c>
    </row>
    <row r="4" ht="19" customHeight="1">
      <c r="A4" s="4" t="inlineStr">
        <is>
          <t>Naive Confidence (NC)</t>
        </is>
      </c>
      <c r="B4" s="4" t="inlineStr">
        <is>
          <t>Single-Pass ($T=0.0, K=1$)</t>
        </is>
      </c>
      <c r="C4" s="5" t="n">
        <v>0.08507151883840559</v>
      </c>
      <c r="D4" s="5" t="n">
        <v>0.0806321349740028</v>
      </c>
      <c r="E4" s="6" t="n">
        <v>0.7557397959183674</v>
      </c>
      <c r="F4" s="7" t="n">
        <v>0.1426775158591738</v>
      </c>
    </row>
    <row r="5" ht="19" customHeight="1">
      <c r="A5" s="8" t="inlineStr">
        <is>
          <t>Temperature Scaling (TS)</t>
        </is>
      </c>
      <c r="B5" s="8" t="inlineStr">
        <is>
          <t>Single-Pass ($T=0.0, K=1$)</t>
        </is>
      </c>
      <c r="C5" s="9" t="n">
        <v>0.1048053730496878</v>
      </c>
      <c r="D5" s="9" t="n">
        <v>0.105133590168191</v>
      </c>
      <c r="E5" s="10" t="n">
        <v>0.7557397959183674</v>
      </c>
      <c r="F5" s="11" t="n">
        <v>0.1495193076322594</v>
      </c>
    </row>
    <row r="6" ht="19" customHeight="1">
      <c r="A6" s="4" t="inlineStr">
        <is>
          <t>Platt Scaling (1D)</t>
        </is>
      </c>
      <c r="B6" s="4" t="inlineStr">
        <is>
          <t>Single-Pass ($T=0.0, K=1$)</t>
        </is>
      </c>
      <c r="C6" s="5" t="n">
        <v>0.07125414383246061</v>
      </c>
      <c r="D6" s="5" t="n">
        <v>0.0971364314216402</v>
      </c>
      <c r="E6" s="6" t="n">
        <v>0.7557397959183674</v>
      </c>
      <c r="F6" s="7" t="n">
        <v>0.1454613853194994</v>
      </c>
    </row>
    <row r="7" ht="19" customHeight="1">
      <c r="A7" s="8" t="inlineStr">
        <is>
          <t>Trajectory Platt (5D)</t>
        </is>
      </c>
      <c r="B7" s="8" t="inlineStr">
        <is>
          <t>Single-Pass ($T=0.0, K=1$)</t>
        </is>
      </c>
      <c r="C7" s="9" t="n">
        <v>0.0693080826774239</v>
      </c>
      <c r="D7" s="9" t="n">
        <v>0.0640767282024025</v>
      </c>
      <c r="E7" s="10" t="n">
        <v>0.794808201058201</v>
      </c>
      <c r="F7" s="11" t="n">
        <v>0.138849684087251</v>
      </c>
    </row>
    <row r="8" ht="19" customHeight="1">
      <c r="A8" s="4" t="inlineStr">
        <is>
          <t>Trajectory Platt (17D)</t>
        </is>
      </c>
      <c r="B8" s="4" t="inlineStr">
        <is>
          <t>Single-Pass ($T=0.0, K=1$)</t>
        </is>
      </c>
      <c r="C8" s="5" t="n">
        <v>0.0485975155085325</v>
      </c>
      <c r="D8" s="5" t="n">
        <v>0.0469234678298234</v>
      </c>
      <c r="E8" s="6" t="n">
        <v>0.7914304610733184</v>
      </c>
      <c r="F8" s="7" t="n">
        <v>0.1389771563905684</v>
      </c>
    </row>
    <row r="9" ht="19" customHeight="1">
      <c r="A9" s="8" t="inlineStr">
        <is>
          <t>VCPS-5D (Our Method)</t>
        </is>
      </c>
      <c r="B9" s="8" t="inlineStr">
        <is>
          <t>Single-Pass ($T=0.0, K=1$)</t>
        </is>
      </c>
      <c r="C9" s="9" t="n">
        <v>0.0539624282673602</v>
      </c>
      <c r="D9" s="9" t="n">
        <v>0.0872338009946871</v>
      </c>
      <c r="E9" s="10" t="n">
        <v>0.7684476568405141</v>
      </c>
      <c r="F9" s="11" t="n">
        <v>0.1421961134863753</v>
      </c>
    </row>
    <row r="10" ht="19" customHeight="1">
      <c r="A10" s="4" t="inlineStr">
        <is>
          <t>VCPS-17D (Our Method)</t>
        </is>
      </c>
      <c r="B10" s="4" t="inlineStr">
        <is>
          <t>Single-Pass ($T=0.0, K=1$)</t>
        </is>
      </c>
      <c r="C10" s="5" t="n">
        <v>0.0455575613742945</v>
      </c>
      <c r="D10" s="5" t="n">
        <v>0.0482230229625928</v>
      </c>
      <c r="E10" s="6" t="n">
        <v>0.7827144746787604</v>
      </c>
      <c r="F10" s="7" t="n">
        <v>0.1392964356950042</v>
      </c>
    </row>
    <row r="11" ht="19" customHeight="1">
      <c r="A11" s="8" t="inlineStr">
        <is>
          <t>Umpire</t>
        </is>
      </c>
      <c r="B11" s="8" t="inlineStr">
        <is>
          <t>Multi-Pass ($T=0.5, K=10$)</t>
        </is>
      </c>
      <c r="C11" s="9" t="n">
        <v>0.058</v>
      </c>
      <c r="D11" s="12" t="inlineStr">
        <is>
          <t>-</t>
        </is>
      </c>
      <c r="E11" s="10" t="n">
        <v>0.819</v>
      </c>
      <c r="F11" s="12" t="inlineStr">
        <is>
          <t>-</t>
        </is>
      </c>
    </row>
    <row r="12" ht="19" customHeight="1">
      <c r="A12" s="4" t="inlineStr">
        <is>
          <t>Eigen Score</t>
        </is>
      </c>
      <c r="B12" s="4" t="inlineStr">
        <is>
          <t>Multi-Pass ($T=0.5, K=10$)</t>
        </is>
      </c>
      <c r="C12" s="5" t="n">
        <v>0.062</v>
      </c>
      <c r="D12" s="13" t="inlineStr">
        <is>
          <t>-</t>
        </is>
      </c>
      <c r="E12" s="6" t="n">
        <v>0.8159999999999999</v>
      </c>
      <c r="F12" s="13" t="inlineStr">
        <is>
          <t>-</t>
        </is>
      </c>
    </row>
    <row r="13" ht="19" customHeight="1">
      <c r="A13" s="8" t="inlineStr">
        <is>
          <t>LN Entropy</t>
        </is>
      </c>
      <c r="B13" s="8" t="inlineStr">
        <is>
          <t>Multi-Pass ($T=0.5, K=10$)</t>
        </is>
      </c>
      <c r="C13" s="9" t="n">
        <v>0.124</v>
      </c>
      <c r="D13" s="12" t="inlineStr">
        <is>
          <t>-</t>
        </is>
      </c>
      <c r="E13" s="10" t="n">
        <v>0.787</v>
      </c>
      <c r="F13" s="12" t="inlineStr">
        <is>
          <t>-</t>
        </is>
      </c>
    </row>
    <row r="14" ht="19" customHeight="1">
      <c r="A14" s="4" t="inlineStr">
        <is>
          <t>Semantic Entropy</t>
        </is>
      </c>
      <c r="B14" s="4" t="inlineStr">
        <is>
          <t>Multi-Pass ($T=0.5, K=10$)</t>
        </is>
      </c>
      <c r="C14" s="5" t="n">
        <v>0.114</v>
      </c>
      <c r="D14" s="13" t="inlineStr">
        <is>
          <t>-</t>
        </is>
      </c>
      <c r="E14" s="6" t="n">
        <v>0.6899999999999999</v>
      </c>
      <c r="F14" s="13" t="inlineStr">
        <is>
          <t>-</t>
        </is>
      </c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2026-09-09T07:53:01Z</dcterms:created>
  <dcterms:modified xsi:type="dcterms:W3CDTF">2026-09-09T07:53:01Z</dcterms:modified>
</cp:coreProperties>
</file>